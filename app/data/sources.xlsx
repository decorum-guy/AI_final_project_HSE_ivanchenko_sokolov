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Артём\Documents\coding\HSE_учеба\AI_FINAL_PROJ_TG\app\data\"/>
    </mc:Choice>
  </mc:AlternateContent>
  <xr:revisionPtr revIDLastSave="0" documentId="13_ncr:1_{03205775-BB1A-4D7D-88B9-6B8453FB7C8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category_summary" sheetId="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" i="5" l="1"/>
  <c r="B10" i="5"/>
  <c r="B2" i="5"/>
  <c r="B7" i="5"/>
  <c r="B8" i="5"/>
  <c r="B4" i="5"/>
  <c r="B9" i="5"/>
  <c r="B6" i="5"/>
  <c r="B3" i="5"/>
  <c r="B11" i="5"/>
  <c r="B5" i="5"/>
  <c r="B13" i="5" l="1"/>
</calcChain>
</file>

<file path=xl/sharedStrings.xml><?xml version="1.0" encoding="utf-8"?>
<sst xmlns="http://schemas.openxmlformats.org/spreadsheetml/2006/main" count="270" uniqueCount="219">
  <si>
    <t>source_id</t>
  </si>
  <si>
    <t>title</t>
  </si>
  <si>
    <t>category</t>
  </si>
  <si>
    <t>description</t>
  </si>
  <si>
    <t>rss_url</t>
  </si>
  <si>
    <t>is_active</t>
  </si>
  <si>
    <t>rb_ru</t>
  </si>
  <si>
    <t>RB.RU</t>
  </si>
  <si>
    <t>Бизнес</t>
  </si>
  <si>
    <t>Предпринимательство, стартапы и технологии</t>
  </si>
  <si>
    <t>https://rb.ru/feeds/all/</t>
  </si>
  <si>
    <t>vc_ru</t>
  </si>
  <si>
    <t>VC.ru</t>
  </si>
  <si>
    <t>Стартапы, технологии, бизнес и цифровые сервисы</t>
  </si>
  <si>
    <t>https://vc.ru/rss</t>
  </si>
  <si>
    <t>vedomosti_news</t>
  </si>
  <si>
    <t>Ведомости</t>
  </si>
  <si>
    <t>Деловые новости, экономика, компании и рынки</t>
  </si>
  <si>
    <t>https://www.vedomosti.ru/rss/news</t>
  </si>
  <si>
    <t>rbc_news</t>
  </si>
  <si>
    <t>РБК Главные новости</t>
  </si>
  <si>
    <t>Главные новости, экономика, компании и рынки</t>
  </si>
  <si>
    <t>https://rssexport.rbc.ru/rbcnews/news/30/full.rss</t>
  </si>
  <si>
    <t>kommersant_news</t>
  </si>
  <si>
    <t>Коммерсантъ</t>
  </si>
  <si>
    <t>Общество</t>
  </si>
  <si>
    <t>Главные новости, экономика, политика и бизнес</t>
  </si>
  <si>
    <t>https://www.kommersant.ru/RSS/news.xml</t>
  </si>
  <si>
    <t>tass_all</t>
  </si>
  <si>
    <t>ТАСС</t>
  </si>
  <si>
    <t>Главные новости России и мира</t>
  </si>
  <si>
    <t>https://tass.ru/rss/v2.xml</t>
  </si>
  <si>
    <t>cnews</t>
  </si>
  <si>
    <t>CNews</t>
  </si>
  <si>
    <t>IT</t>
  </si>
  <si>
    <t>Новости IT-рынка, цифровизации и корпоративных технологий</t>
  </si>
  <si>
    <t>https://www.cnews.ru/inc/rss/news.xml</t>
  </si>
  <si>
    <t>runet_news</t>
  </si>
  <si>
    <t>Runet</t>
  </si>
  <si>
    <t>IT-бизнес, цифровизация, технологии и российский интернет</t>
  </si>
  <si>
    <t>https://runet.news/feed.rss</t>
  </si>
  <si>
    <t>securitylab_news</t>
  </si>
  <si>
    <t>SecurityLab Новости</t>
  </si>
  <si>
    <t>Новости информационной безопасности и киберугроз</t>
  </si>
  <si>
    <t>https://www.securitylab.ru/_Services/Export/RSS/news/</t>
  </si>
  <si>
    <t>securitylab_vulnerabilities</t>
  </si>
  <si>
    <t>SecurityLab Уязвимости</t>
  </si>
  <si>
    <t>Уязвимости, CVE, кибербезопасность и эксплуатация уязвимостей</t>
  </si>
  <si>
    <t>https://www.securitylab.ru/_Services/Export/RSS/vulnerabilities/</t>
  </si>
  <si>
    <t>habr_articles</t>
  </si>
  <si>
    <t>Хабр</t>
  </si>
  <si>
    <t>Разработка, IT, технологии и инженерные статьи</t>
  </si>
  <si>
    <t>https://habr.com/ru/rss/articles/</t>
  </si>
  <si>
    <t>habr_news</t>
  </si>
  <si>
    <t>Хабр Новости</t>
  </si>
  <si>
    <t>Новости IT-индустрии и технологий</t>
  </si>
  <si>
    <t>https://habr.com/ru/rss/news/</t>
  </si>
  <si>
    <t>xakep</t>
  </si>
  <si>
    <t>Хакер</t>
  </si>
  <si>
    <t>Информационная безопасность, разработка, DevOps и системное администрирование</t>
  </si>
  <si>
    <t>https://xakep.ru/feed</t>
  </si>
  <si>
    <t>Технологии</t>
  </si>
  <si>
    <t>mobile_review</t>
  </si>
  <si>
    <t>Mobile-Review</t>
  </si>
  <si>
    <t>Гаджеты, смартфоны, электроника и IT-рынок</t>
  </si>
  <si>
    <t>https://mobile-review.com/all/feed</t>
  </si>
  <si>
    <t>computerra</t>
  </si>
  <si>
    <t>Компьютерра</t>
  </si>
  <si>
    <t>Технологии, IT, инновации, интернет и наука</t>
  </si>
  <si>
    <t>https://computerra.ru/feed</t>
  </si>
  <si>
    <t>nplus1</t>
  </si>
  <si>
    <t>N+1</t>
  </si>
  <si>
    <t>Наука</t>
  </si>
  <si>
    <t>Научные новости, исследования и открытия</t>
  </si>
  <si>
    <t>https://nplus1.ru/rss</t>
  </si>
  <si>
    <t>naked_science</t>
  </si>
  <si>
    <t>Naked Science</t>
  </si>
  <si>
    <t>Научно-популярные новости и исследования</t>
  </si>
  <si>
    <t>https://naked-science.ru/feed</t>
  </si>
  <si>
    <t>postnauka</t>
  </si>
  <si>
    <t>ПостНаука</t>
  </si>
  <si>
    <t>Наука, образование и научно-популярные материалы</t>
  </si>
  <si>
    <t>https://postnauka.ru/feed</t>
  </si>
  <si>
    <t>cossa_ru</t>
  </si>
  <si>
    <t>Cossa</t>
  </si>
  <si>
    <t>Маркетинг</t>
  </si>
  <si>
    <t>Digital-маркетинг, реклама, бренды, коммуникации и кейсы</t>
  </si>
  <si>
    <t>https://www.cossa.ru/rss/</t>
  </si>
  <si>
    <t>unisender_blog</t>
  </si>
  <si>
    <t>Unisender Blog</t>
  </si>
  <si>
    <t>Email-маркетинг, рассылки, CRM, retention и digital-коммуникации</t>
  </si>
  <si>
    <t>https://www.unisender.com/ru/blog/feed/</t>
  </si>
  <si>
    <t>ug_ru</t>
  </si>
  <si>
    <t>Учительская газета</t>
  </si>
  <si>
    <t>Образование</t>
  </si>
  <si>
    <t>Новости образования, школа, педагогика и практики преподавания</t>
  </si>
  <si>
    <t>https://ug.ru/feed</t>
  </si>
  <si>
    <t>knife</t>
  </si>
  <si>
    <t>Нож</t>
  </si>
  <si>
    <t>Культура</t>
  </si>
  <si>
    <t>Культура, общество, психология и современные идеи</t>
  </si>
  <si>
    <t>https://knife.media/feed/</t>
  </si>
  <si>
    <t>se_all</t>
  </si>
  <si>
    <t>Спорт-Экспресс</t>
  </si>
  <si>
    <t>Спорт</t>
  </si>
  <si>
    <t>Главные спортивные новости</t>
  </si>
  <si>
    <t>https://www.sport-express.ru/services/materials/news/se/</t>
  </si>
  <si>
    <t>se_basketball</t>
  </si>
  <si>
    <t>Спорт-Экспресс Баскетбол</t>
  </si>
  <si>
    <t>Новости баскетбола</t>
  </si>
  <si>
    <t>https://www.sport-express.ru/services/materials/news/basketball/se/</t>
  </si>
  <si>
    <t>se_tennis</t>
  </si>
  <si>
    <t>Спорт-Экспресс Теннис</t>
  </si>
  <si>
    <t>Новости тенниса</t>
  </si>
  <si>
    <t>https://www.sport-express.ru/services/materials/news/tennis/se/</t>
  </si>
  <si>
    <t>se_f1</t>
  </si>
  <si>
    <t>Спорт-Экспресс Формула-1</t>
  </si>
  <si>
    <t>Новости Формулы-1</t>
  </si>
  <si>
    <t>https://www.sport-express.ru/services/materials/news/formula1/se/</t>
  </si>
  <si>
    <t>se_football</t>
  </si>
  <si>
    <t>Спорт-Экспресс Футбол</t>
  </si>
  <si>
    <t>Новости футбола</t>
  </si>
  <si>
    <t>https://www.sport-express.ru/services/materials/news/football/se/</t>
  </si>
  <si>
    <t>se_hockey</t>
  </si>
  <si>
    <t>Спорт-Экспресс Хоккей</t>
  </si>
  <si>
    <t>Новости хоккея</t>
  </si>
  <si>
    <t>https://www.sport-express.ru/services/materials/news/hockey/se/</t>
  </si>
  <si>
    <t>forklog</t>
  </si>
  <si>
    <t>ForkLog</t>
  </si>
  <si>
    <t>Крипто</t>
  </si>
  <si>
    <t>click_ru_blog</t>
  </si>
  <si>
    <t>Click.ru Блог</t>
  </si>
  <si>
    <t>https://blog.click.ru/feed/</t>
  </si>
  <si>
    <t>ppc_world</t>
  </si>
  <si>
    <t>PPC.world</t>
  </si>
  <si>
    <t>pedsovet</t>
  </si>
  <si>
    <t>Педсовет</t>
  </si>
  <si>
    <t>http://pedsovet.org/rss/</t>
  </si>
  <si>
    <t>portal_kultura</t>
  </si>
  <si>
    <t>Газета «Культура»</t>
  </si>
  <si>
    <t>kino_teatr</t>
  </si>
  <si>
    <t>Кино-Театр.Ру</t>
  </si>
  <si>
    <t>cms_magazine</t>
  </si>
  <si>
    <t>CMS Magazine</t>
  </si>
  <si>
    <t>active_sources_count</t>
  </si>
  <si>
    <t>3dnews_breaking</t>
  </si>
  <si>
    <t>3DNews Срочные новости</t>
  </si>
  <si>
    <t>Срочные новости технологий, IT, гаджетов и цифрового рынка</t>
  </si>
  <si>
    <t>https://3dnews.ru/breaking/rss/</t>
  </si>
  <si>
    <t>3dnews_games</t>
  </si>
  <si>
    <t>3DNews Игры</t>
  </si>
  <si>
    <t>Игры</t>
  </si>
  <si>
    <t>Новости игровой индустрии, релизы, железо и игровые технологии</t>
  </si>
  <si>
    <t>https://3dnews.ru/games/rss/</t>
  </si>
  <si>
    <t>3dnews_software</t>
  </si>
  <si>
    <t>3DNews Софт</t>
  </si>
  <si>
    <t>Новости программного обеспечения, сервисов и цифровых платформ</t>
  </si>
  <si>
    <t>https://3dnews.ru/software-news/rss/</t>
  </si>
  <si>
    <t>3dnews_gadgets</t>
  </si>
  <si>
    <t>3DNews Гаджеты</t>
  </si>
  <si>
    <t>Новости гаджетов, смартфонов, устройств и потребительской электроники</t>
  </si>
  <si>
    <t>https://3dnews.ru/gadgets/rss/</t>
  </si>
  <si>
    <t>3dnews_hardware</t>
  </si>
  <si>
    <t>3DNews Железо</t>
  </si>
  <si>
    <t>Новости компьютерного железа, комплектующих, процессоров, видеокарт и технологий</t>
  </si>
  <si>
    <t>https://3dnews.ru/hardware-news/rss</t>
  </si>
  <si>
    <t>https://ppc.world/feed/</t>
  </si>
  <si>
    <t>Газета.Ru - Культура</t>
  </si>
  <si>
    <t>https://www.gazeta.ru/export/rss/culture.xml</t>
  </si>
  <si>
    <t>gazeta_ru_culture</t>
  </si>
  <si>
    <t>https://portal-kultura.ru/rss/</t>
  </si>
  <si>
    <t>https://www.kino-teatr.ru/rss/rss.xml</t>
  </si>
  <si>
    <t>https://cmsmagazine.ru/rss/articles.feedburner.rss</t>
  </si>
  <si>
    <t>Практические материалы о digital-рекламе, performance-маркетинге, аналитике, продвижении и работе с рекламными инструментами</t>
  </si>
  <si>
    <t>Новости, статьи и практические материалы о контекстной рекламе, performance-маркетинге, аналитике и digital-продвижении</t>
  </si>
  <si>
    <t>Новости и материалы об образовании, школе, педагогике, учителях, образовательной политике и современных практиках обучения</t>
  </si>
  <si>
    <t>Новости культуры, кино, музыки, театра, литературы и событий культурной жизни</t>
  </si>
  <si>
    <t>Новости культуры, искусства, театра, кино, литературы, музыки и культурной политики</t>
  </si>
  <si>
    <t>Новости кино, сериалов, театра, актеров, премьер, фестивалей и российской индустрии развлечений</t>
  </si>
  <si>
    <t>Кейсы, статьи и исследования о digital-продуктах, веб-разработке, агентствах, маркетинге, UX и интернет-коммуникациях</t>
  </si>
  <si>
    <t>ВСЕГО</t>
  </si>
  <si>
    <t>https://minobrnauki.gov.ru/press-center/news/rss/</t>
  </si>
  <si>
    <t>https://www.hse.ru/rss/rss_news_edu.rss</t>
  </si>
  <si>
    <t>https://fom.ru/rss/tag/Nauka-i-obrazovanie</t>
  </si>
  <si>
    <t>https://www.vedomosti.ru/rss/rubric/management/education</t>
  </si>
  <si>
    <t>https://fom.ru/rss/tag/obshchestvo</t>
  </si>
  <si>
    <t>https://www.mk.ru/rss/social/index.xml</t>
  </si>
  <si>
    <t>https://bits.media/rss2/</t>
  </si>
  <si>
    <t>bits_media</t>
  </si>
  <si>
    <t>https://forklog.com/feed/</t>
  </si>
  <si>
    <t>minobrnauki_news</t>
  </si>
  <si>
    <t>Минобрнауки России</t>
  </si>
  <si>
    <t>Официальные новости Министерства науки и высшего образования России, университетов, науки, исследований и образовательной политики</t>
  </si>
  <si>
    <t>hse_news_edu</t>
  </si>
  <si>
    <t>НИУ ВШЭ — образование</t>
  </si>
  <si>
    <t>Новости Высшей школы экономики об образовании, университетской среде, исследованиях, студентах и академических проектах</t>
  </si>
  <si>
    <t>fom_edu</t>
  </si>
  <si>
    <t>ФОМ — наука и образование</t>
  </si>
  <si>
    <t>Данные опросов, аналитика и публикации ФОМ о науке, образовании, общественном мнении и восприятии образовательных тем</t>
  </si>
  <si>
    <t>vedomosti_education</t>
  </si>
  <si>
    <t>Ведомости — бизнес-образование</t>
  </si>
  <si>
    <t>Материалы о бизнес-образовании, управлении, карьере, корпоративном обучении и развитии профессиональных компетенций</t>
  </si>
  <si>
    <t>fom_social</t>
  </si>
  <si>
    <t>ФОМ — общество</t>
  </si>
  <si>
    <t>Опросы, аналитика и публикации ФОМ об обществе, социальных настроениях, ценностях и изменениях общественного мнения</t>
  </si>
  <si>
    <t>mk_social</t>
  </si>
  <si>
    <t>МК — общество</t>
  </si>
  <si>
    <t>Новости общества, социальной повестки, городских событий, происшествий и актуальных тем в России</t>
  </si>
  <si>
    <t>Bits.media</t>
  </si>
  <si>
    <t>Новости криптовалют, блокчейна, майнинга, регулирования, цифровых активов и крипторынка</t>
  </si>
  <si>
    <t>Новости криптовалют, блокчейна, Web3, регулирования и цифровых финансов</t>
  </si>
  <si>
    <t>goha_videogames</t>
  </si>
  <si>
    <t>GoHa.Ru — видеоигры</t>
  </si>
  <si>
    <t>Новости видеоигр, PC-игр, онлайн-проектов, игровой индустрии и крупных релизов</t>
  </si>
  <si>
    <t>https://www.goha.ru/rss/videogames</t>
  </si>
  <si>
    <t>stopgame_news</t>
  </si>
  <si>
    <t>StopGame — игровые новости</t>
  </si>
  <si>
    <t>Новости игровой индустрии, релизов, анонсов, обновлений, распродаж и событий из мира видеоигр</t>
  </si>
  <si>
    <t>https://stopgame.ru/rss/rss_news.xml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</si>
</sst>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Carlito"/>
    </font>
    <font>
      <b/>
      <sz val="11"/>
      <color rgb="FFFFFFFF"/>
      <name val="Carlito"/>
    </font>
    <font>
      <sz val="11"/>
      <name val="Carlito"/>
    </font>
    <font>
      <u/>
      <sz val="11"/>
      <color theme="10"/>
      <name val="Carlito"/>
    </font>
    <font>
      <sz val="11"/>
      <name val="Carlito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3730A3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0" fontId="1" fillId="2" borderId="0" xfId="1" applyFont="1" applyFill="1" applyAlignment="1">
      <alignment horizontal="center"/>
    </xf>
    <xf numFmtId="0" fontId="0" fillId="0" borderId="0" xfId="1" applyFont="1" applyAlignment="1">
      <alignment wrapText="1"/>
    </xf>
    <xf numFmtId="0" fontId="0" fillId="0" borderId="0" xfId="1" applyFont="1" applyAlignment="1">
      <alignment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3" borderId="0" xfId="1" applyFont="1" applyFill="1" applyAlignment="1">
      <alignment horizontal="center"/>
    </xf>
    <xf numFmtId="0" fontId="0" fillId="0" borderId="1" xfId="0" applyFill="1" applyBorder="1"/>
    <xf numFmtId="0" fontId="4" fillId="0" borderId="0" xfId="1" applyFont="1" applyAlignment="1">
      <alignment wrapText="1"/>
    </xf>
    <xf numFmtId="0" fontId="4" fillId="0" borderId="0" xfId="0" applyFont="1"/>
    <xf numFmtId="0" fontId="3" fillId="0" borderId="0" xfId="2"/>
  </cellXfs>
  <cellStyles count="3">
    <cellStyle name="Normal" xfId="1" xr:uid="{00000000-0005-0000-0000-000000000000}"/>
    <cellStyle name="Гиперссылка" xfId="2" builtinId="8"/>
    <cellStyle name="Обычный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family val="2"/>
        <charset val="204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22/11/relationships/FeaturePropertyBag" Target="featurePropertyBag/featurePropertyBag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ourcesTable" displayName="SourcesTable" ref="A1:F51">
  <tableColumns count="6">
    <tableColumn id="1" xr3:uid="{00000000-0010-0000-0000-000001000000}" name="source_id"/>
    <tableColumn id="2" xr3:uid="{00000000-0010-0000-0000-000002000000}" name="title"/>
    <tableColumn id="3" xr3:uid="{00000000-0010-0000-0000-000003000000}" name="category"/>
    <tableColumn id="4" xr3:uid="{00000000-0010-0000-0000-000004000000}" name="description"/>
    <tableColumn id="5" xr3:uid="{00000000-0010-0000-0000-000005000000}" name="rss_url"/>
    <tableColumn id="6" xr3:uid="{00000000-0010-0000-0000-000006000000}" name="is_activ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CategorySummaryTable" displayName="CategorySummaryTable" ref="A1:B13" totalsRowCount="1">
  <sortState xmlns:xlrd2="http://schemas.microsoft.com/office/spreadsheetml/2017/richdata2" ref="A2:B12">
    <sortCondition descending="1" ref="B2:B12"/>
  </sortState>
  <tableColumns count="2">
    <tableColumn id="1" xr3:uid="{00000000-0010-0000-0400-000001000000}" name="category" totalsRowLabel="ВСЕГО" totalsRowDxfId="0"/>
    <tableColumn id="2" xr3:uid="{00000000-0010-0000-0400-000002000000}" name="active_sources_count" totalsRowFunction="sum">
      <calculatedColumnFormula>COUNTIF(SourcesTable[category], CategorySummaryTable[[#This Row],[category]])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1"/>
  <sheetViews>
    <sheetView tabSelected="1" topLeftCell="A32" workbookViewId="0">
      <selection activeCell="B51" sqref="B51"/>
    </sheetView>
  </sheetViews>
  <sheetFormatPr defaultRowHeight="14.4" x14ac:dyDescent="0.3"/>
  <cols>
    <col min="1" max="2" width="24" customWidth="1"/>
    <col min="3" max="3" width="16" customWidth="1"/>
    <col min="4" max="4" width="45" customWidth="1"/>
    <col min="5" max="5" width="62" customWidth="1"/>
    <col min="6" max="6" width="12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 t="s">
        <v>6</v>
      </c>
      <c r="B2" s="2" t="s">
        <v>7</v>
      </c>
      <c r="C2" s="6" t="s">
        <v>8</v>
      </c>
      <c r="D2" s="2" t="s">
        <v>9</v>
      </c>
      <c r="E2" s="2" t="s">
        <v>10</v>
      </c>
      <c r="F2" s="3" t="b">
        <v>1</v>
      </c>
    </row>
    <row r="3" spans="1:6" ht="28.8" x14ac:dyDescent="0.3">
      <c r="A3" s="2" t="s">
        <v>11</v>
      </c>
      <c r="B3" s="2" t="s">
        <v>12</v>
      </c>
      <c r="C3" s="2" t="s">
        <v>8</v>
      </c>
      <c r="D3" s="2" t="s">
        <v>13</v>
      </c>
      <c r="E3" s="2" t="s">
        <v>14</v>
      </c>
      <c r="F3" s="3" t="b">
        <v>1</v>
      </c>
    </row>
    <row r="4" spans="1:6" x14ac:dyDescent="0.3">
      <c r="A4" s="2" t="s">
        <v>15</v>
      </c>
      <c r="B4" s="2" t="s">
        <v>16</v>
      </c>
      <c r="C4" s="2" t="s">
        <v>8</v>
      </c>
      <c r="D4" s="2" t="s">
        <v>17</v>
      </c>
      <c r="E4" s="2" t="s">
        <v>18</v>
      </c>
      <c r="F4" s="3" t="b">
        <v>1</v>
      </c>
    </row>
    <row r="5" spans="1:6" x14ac:dyDescent="0.3">
      <c r="A5" s="2" t="s">
        <v>19</v>
      </c>
      <c r="B5" s="2" t="s">
        <v>20</v>
      </c>
      <c r="C5" s="2" t="s">
        <v>8</v>
      </c>
      <c r="D5" s="2" t="s">
        <v>21</v>
      </c>
      <c r="E5" s="2" t="s">
        <v>22</v>
      </c>
      <c r="F5" s="3" t="b">
        <v>1</v>
      </c>
    </row>
    <row r="6" spans="1:6" x14ac:dyDescent="0.3">
      <c r="A6" s="2" t="s">
        <v>23</v>
      </c>
      <c r="B6" s="2" t="s">
        <v>24</v>
      </c>
      <c r="C6" s="2" t="s">
        <v>25</v>
      </c>
      <c r="D6" s="2" t="s">
        <v>26</v>
      </c>
      <c r="E6" s="2" t="s">
        <v>27</v>
      </c>
      <c r="F6" s="3" t="b">
        <v>1</v>
      </c>
    </row>
    <row r="7" spans="1:6" x14ac:dyDescent="0.3">
      <c r="A7" s="2" t="s">
        <v>28</v>
      </c>
      <c r="B7" s="2" t="s">
        <v>29</v>
      </c>
      <c r="C7" s="2" t="s">
        <v>25</v>
      </c>
      <c r="D7" s="2" t="s">
        <v>30</v>
      </c>
      <c r="E7" s="2" t="s">
        <v>31</v>
      </c>
      <c r="F7" s="3" t="b">
        <v>1</v>
      </c>
    </row>
    <row r="8" spans="1:6" ht="28.8" x14ac:dyDescent="0.3">
      <c r="A8" s="2" t="s">
        <v>32</v>
      </c>
      <c r="B8" s="2" t="s">
        <v>33</v>
      </c>
      <c r="C8" s="2" t="s">
        <v>34</v>
      </c>
      <c r="D8" s="2" t="s">
        <v>35</v>
      </c>
      <c r="E8" s="2" t="s">
        <v>36</v>
      </c>
      <c r="F8" s="3" t="b">
        <v>1</v>
      </c>
    </row>
    <row r="9" spans="1:6" ht="28.8" x14ac:dyDescent="0.3">
      <c r="A9" s="2" t="s">
        <v>37</v>
      </c>
      <c r="B9" s="2" t="s">
        <v>38</v>
      </c>
      <c r="C9" s="2" t="s">
        <v>34</v>
      </c>
      <c r="D9" s="2" t="s">
        <v>39</v>
      </c>
      <c r="E9" s="2" t="s">
        <v>40</v>
      </c>
      <c r="F9" s="3" t="b">
        <v>1</v>
      </c>
    </row>
    <row r="10" spans="1:6" ht="28.8" x14ac:dyDescent="0.3">
      <c r="A10" s="2" t="s">
        <v>41</v>
      </c>
      <c r="B10" s="2" t="s">
        <v>42</v>
      </c>
      <c r="C10" s="2" t="s">
        <v>34</v>
      </c>
      <c r="D10" s="2" t="s">
        <v>43</v>
      </c>
      <c r="E10" s="2" t="s">
        <v>44</v>
      </c>
      <c r="F10" s="3" t="b">
        <v>1</v>
      </c>
    </row>
    <row r="11" spans="1:6" ht="28.8" x14ac:dyDescent="0.3">
      <c r="A11" s="2" t="s">
        <v>45</v>
      </c>
      <c r="B11" s="2" t="s">
        <v>46</v>
      </c>
      <c r="C11" s="2" t="s">
        <v>34</v>
      </c>
      <c r="D11" s="2" t="s">
        <v>47</v>
      </c>
      <c r="E11" s="2" t="s">
        <v>48</v>
      </c>
      <c r="F11" s="3" t="b">
        <v>1</v>
      </c>
    </row>
    <row r="12" spans="1:6" x14ac:dyDescent="0.3">
      <c r="A12" s="2" t="s">
        <v>49</v>
      </c>
      <c r="B12" s="2" t="s">
        <v>50</v>
      </c>
      <c r="C12" s="2" t="s">
        <v>34</v>
      </c>
      <c r="D12" s="2" t="s">
        <v>51</v>
      </c>
      <c r="E12" s="2" t="s">
        <v>52</v>
      </c>
      <c r="F12" s="3" t="b">
        <v>1</v>
      </c>
    </row>
    <row r="13" spans="1:6" x14ac:dyDescent="0.3">
      <c r="A13" s="2" t="s">
        <v>53</v>
      </c>
      <c r="B13" s="2" t="s">
        <v>54</v>
      </c>
      <c r="C13" s="2" t="s">
        <v>34</v>
      </c>
      <c r="D13" s="2" t="s">
        <v>55</v>
      </c>
      <c r="E13" s="2" t="s">
        <v>56</v>
      </c>
      <c r="F13" s="3" t="b">
        <v>1</v>
      </c>
    </row>
    <row r="14" spans="1:6" ht="28.8" x14ac:dyDescent="0.3">
      <c r="A14" s="2" t="s">
        <v>57</v>
      </c>
      <c r="B14" s="2" t="s">
        <v>58</v>
      </c>
      <c r="C14" s="2" t="s">
        <v>34</v>
      </c>
      <c r="D14" s="2" t="s">
        <v>59</v>
      </c>
      <c r="E14" s="2" t="s">
        <v>60</v>
      </c>
      <c r="F14" s="3" t="b">
        <v>1</v>
      </c>
    </row>
    <row r="15" spans="1:6" ht="28.8" x14ac:dyDescent="0.3">
      <c r="A15" s="2" t="s">
        <v>145</v>
      </c>
      <c r="B15" s="2" t="s">
        <v>146</v>
      </c>
      <c r="C15" s="2" t="s">
        <v>61</v>
      </c>
      <c r="D15" s="2" t="s">
        <v>147</v>
      </c>
      <c r="E15" s="2" t="s">
        <v>148</v>
      </c>
      <c r="F15" s="3" t="b">
        <v>1</v>
      </c>
    </row>
    <row r="16" spans="1:6" ht="28.8" x14ac:dyDescent="0.3">
      <c r="A16" s="2" t="s">
        <v>149</v>
      </c>
      <c r="B16" s="2" t="s">
        <v>150</v>
      </c>
      <c r="C16" s="2" t="s">
        <v>151</v>
      </c>
      <c r="D16" s="2" t="s">
        <v>152</v>
      </c>
      <c r="E16" s="2" t="s">
        <v>153</v>
      </c>
      <c r="F16" s="3" t="b">
        <v>1</v>
      </c>
    </row>
    <row r="17" spans="1:6" ht="28.8" x14ac:dyDescent="0.3">
      <c r="A17" s="2" t="s">
        <v>154</v>
      </c>
      <c r="B17" s="2" t="s">
        <v>155</v>
      </c>
      <c r="C17" s="2" t="s">
        <v>34</v>
      </c>
      <c r="D17" s="2" t="s">
        <v>156</v>
      </c>
      <c r="E17" s="2" t="s">
        <v>157</v>
      </c>
      <c r="F17" s="3" t="b">
        <v>1</v>
      </c>
    </row>
    <row r="18" spans="1:6" ht="28.8" x14ac:dyDescent="0.3">
      <c r="A18" s="2" t="s">
        <v>158</v>
      </c>
      <c r="B18" s="2" t="s">
        <v>159</v>
      </c>
      <c r="C18" s="2" t="s">
        <v>61</v>
      </c>
      <c r="D18" s="2" t="s">
        <v>160</v>
      </c>
      <c r="E18" s="2" t="s">
        <v>161</v>
      </c>
      <c r="F18" s="3" t="b">
        <v>1</v>
      </c>
    </row>
    <row r="19" spans="1:6" ht="28.8" x14ac:dyDescent="0.3">
      <c r="A19" s="2" t="s">
        <v>162</v>
      </c>
      <c r="B19" s="2" t="s">
        <v>163</v>
      </c>
      <c r="C19" s="2" t="s">
        <v>34</v>
      </c>
      <c r="D19" s="2" t="s">
        <v>164</v>
      </c>
      <c r="E19" s="2" t="s">
        <v>165</v>
      </c>
      <c r="F19" s="3" t="b">
        <v>1</v>
      </c>
    </row>
    <row r="20" spans="1:6" x14ac:dyDescent="0.3">
      <c r="A20" s="2" t="s">
        <v>62</v>
      </c>
      <c r="B20" s="2" t="s">
        <v>63</v>
      </c>
      <c r="C20" s="2" t="s">
        <v>61</v>
      </c>
      <c r="D20" s="2" t="s">
        <v>64</v>
      </c>
      <c r="E20" s="2" t="s">
        <v>65</v>
      </c>
      <c r="F20" s="3" t="b">
        <v>1</v>
      </c>
    </row>
    <row r="21" spans="1:6" x14ac:dyDescent="0.3">
      <c r="A21" s="2" t="s">
        <v>66</v>
      </c>
      <c r="B21" s="2" t="s">
        <v>67</v>
      </c>
      <c r="C21" s="2" t="s">
        <v>61</v>
      </c>
      <c r="D21" s="2" t="s">
        <v>68</v>
      </c>
      <c r="E21" s="2" t="s">
        <v>69</v>
      </c>
      <c r="F21" s="3" t="b">
        <v>1</v>
      </c>
    </row>
    <row r="22" spans="1:6" x14ac:dyDescent="0.3">
      <c r="A22" s="2" t="s">
        <v>70</v>
      </c>
      <c r="B22" s="2" t="s">
        <v>71</v>
      </c>
      <c r="C22" s="2" t="s">
        <v>72</v>
      </c>
      <c r="D22" s="2" t="s">
        <v>73</v>
      </c>
      <c r="E22" s="2" t="s">
        <v>74</v>
      </c>
      <c r="F22" s="3" t="b">
        <v>1</v>
      </c>
    </row>
    <row r="23" spans="1:6" x14ac:dyDescent="0.3">
      <c r="A23" s="2" t="s">
        <v>75</v>
      </c>
      <c r="B23" s="2" t="s">
        <v>76</v>
      </c>
      <c r="C23" s="2" t="s">
        <v>72</v>
      </c>
      <c r="D23" s="2" t="s">
        <v>77</v>
      </c>
      <c r="E23" s="2" t="s">
        <v>78</v>
      </c>
      <c r="F23" s="3" t="b">
        <v>1</v>
      </c>
    </row>
    <row r="24" spans="1:6" ht="28.8" x14ac:dyDescent="0.3">
      <c r="A24" s="2" t="s">
        <v>79</v>
      </c>
      <c r="B24" s="2" t="s">
        <v>80</v>
      </c>
      <c r="C24" s="2" t="s">
        <v>72</v>
      </c>
      <c r="D24" s="2" t="s">
        <v>81</v>
      </c>
      <c r="E24" s="2" t="s">
        <v>82</v>
      </c>
      <c r="F24" s="3" t="b">
        <v>1</v>
      </c>
    </row>
    <row r="25" spans="1:6" ht="28.8" x14ac:dyDescent="0.3">
      <c r="A25" s="2" t="s">
        <v>83</v>
      </c>
      <c r="B25" s="2" t="s">
        <v>84</v>
      </c>
      <c r="C25" s="2" t="s">
        <v>85</v>
      </c>
      <c r="D25" s="2" t="s">
        <v>86</v>
      </c>
      <c r="E25" s="2" t="s">
        <v>87</v>
      </c>
      <c r="F25" s="3" t="b">
        <v>1</v>
      </c>
    </row>
    <row r="26" spans="1:6" ht="28.8" x14ac:dyDescent="0.3">
      <c r="A26" s="2" t="s">
        <v>88</v>
      </c>
      <c r="B26" s="2" t="s">
        <v>89</v>
      </c>
      <c r="C26" s="2" t="s">
        <v>85</v>
      </c>
      <c r="D26" s="2" t="s">
        <v>90</v>
      </c>
      <c r="E26" s="2" t="s">
        <v>91</v>
      </c>
      <c r="F26" s="3" t="b">
        <v>1</v>
      </c>
    </row>
    <row r="27" spans="1:6" ht="28.8" x14ac:dyDescent="0.3">
      <c r="A27" s="2" t="s">
        <v>92</v>
      </c>
      <c r="B27" s="2" t="s">
        <v>93</v>
      </c>
      <c r="C27" s="2" t="s">
        <v>94</v>
      </c>
      <c r="D27" s="2" t="s">
        <v>95</v>
      </c>
      <c r="E27" s="2" t="s">
        <v>96</v>
      </c>
      <c r="F27" s="3" t="b">
        <v>1</v>
      </c>
    </row>
    <row r="28" spans="1:6" ht="28.8" x14ac:dyDescent="0.3">
      <c r="A28" s="2" t="s">
        <v>97</v>
      </c>
      <c r="B28" s="2" t="s">
        <v>98</v>
      </c>
      <c r="C28" s="2" t="s">
        <v>99</v>
      </c>
      <c r="D28" s="2" t="s">
        <v>100</v>
      </c>
      <c r="E28" s="2" t="s">
        <v>101</v>
      </c>
      <c r="F28" s="3" t="b">
        <v>1</v>
      </c>
    </row>
    <row r="29" spans="1:6" x14ac:dyDescent="0.3">
      <c r="A29" s="2" t="s">
        <v>102</v>
      </c>
      <c r="B29" s="2" t="s">
        <v>103</v>
      </c>
      <c r="C29" s="2" t="s">
        <v>104</v>
      </c>
      <c r="D29" s="2" t="s">
        <v>105</v>
      </c>
      <c r="E29" s="2" t="s">
        <v>106</v>
      </c>
      <c r="F29" s="3" t="b">
        <v>1</v>
      </c>
    </row>
    <row r="30" spans="1:6" x14ac:dyDescent="0.3">
      <c r="A30" s="2" t="s">
        <v>107</v>
      </c>
      <c r="B30" s="2" t="s">
        <v>108</v>
      </c>
      <c r="C30" s="2" t="s">
        <v>104</v>
      </c>
      <c r="D30" s="2" t="s">
        <v>109</v>
      </c>
      <c r="E30" s="2" t="s">
        <v>110</v>
      </c>
      <c r="F30" s="3" t="b">
        <v>1</v>
      </c>
    </row>
    <row r="31" spans="1:6" x14ac:dyDescent="0.3">
      <c r="A31" s="2" t="s">
        <v>111</v>
      </c>
      <c r="B31" s="2" t="s">
        <v>112</v>
      </c>
      <c r="C31" s="2" t="s">
        <v>104</v>
      </c>
      <c r="D31" s="2" t="s">
        <v>113</v>
      </c>
      <c r="E31" s="2" t="s">
        <v>114</v>
      </c>
      <c r="F31" s="3" t="b">
        <v>1</v>
      </c>
    </row>
    <row r="32" spans="1:6" ht="28.8" x14ac:dyDescent="0.3">
      <c r="A32" s="2" t="s">
        <v>115</v>
      </c>
      <c r="B32" s="2" t="s">
        <v>116</v>
      </c>
      <c r="C32" s="2" t="s">
        <v>104</v>
      </c>
      <c r="D32" s="2" t="s">
        <v>117</v>
      </c>
      <c r="E32" s="2" t="s">
        <v>118</v>
      </c>
      <c r="F32" s="3" t="b">
        <v>1</v>
      </c>
    </row>
    <row r="33" spans="1:6" x14ac:dyDescent="0.3">
      <c r="A33" s="2" t="s">
        <v>119</v>
      </c>
      <c r="B33" s="2" t="s">
        <v>120</v>
      </c>
      <c r="C33" s="2" t="s">
        <v>104</v>
      </c>
      <c r="D33" s="2" t="s">
        <v>121</v>
      </c>
      <c r="E33" s="2" t="s">
        <v>122</v>
      </c>
      <c r="F33" s="3" t="b">
        <v>1</v>
      </c>
    </row>
    <row r="34" spans="1:6" x14ac:dyDescent="0.3">
      <c r="A34" s="2" t="s">
        <v>123</v>
      </c>
      <c r="B34" s="2" t="s">
        <v>124</v>
      </c>
      <c r="C34" s="2" t="s">
        <v>104</v>
      </c>
      <c r="D34" s="2" t="s">
        <v>125</v>
      </c>
      <c r="E34" s="2" t="s">
        <v>126</v>
      </c>
      <c r="F34" s="3" t="b">
        <v>1</v>
      </c>
    </row>
    <row r="35" spans="1:6" x14ac:dyDescent="0.3">
      <c r="A35" s="2" t="s">
        <v>130</v>
      </c>
      <c r="B35" s="2" t="s">
        <v>131</v>
      </c>
      <c r="C35" s="2" t="s">
        <v>85</v>
      </c>
      <c r="D35" t="s">
        <v>173</v>
      </c>
      <c r="E35" s="5" t="s">
        <v>132</v>
      </c>
      <c r="F35" s="3" t="b">
        <v>1</v>
      </c>
    </row>
    <row r="36" spans="1:6" x14ac:dyDescent="0.3">
      <c r="A36" s="2" t="s">
        <v>133</v>
      </c>
      <c r="B36" s="2" t="s">
        <v>134</v>
      </c>
      <c r="C36" s="2" t="s">
        <v>85</v>
      </c>
      <c r="D36" t="s">
        <v>174</v>
      </c>
      <c r="E36" s="2" t="s">
        <v>166</v>
      </c>
      <c r="F36" s="3" t="b">
        <v>1</v>
      </c>
    </row>
    <row r="37" spans="1:6" x14ac:dyDescent="0.3">
      <c r="A37" s="7" t="s">
        <v>135</v>
      </c>
      <c r="B37" s="6" t="s">
        <v>136</v>
      </c>
      <c r="C37" t="s">
        <v>94</v>
      </c>
      <c r="D37" t="s">
        <v>175</v>
      </c>
      <c r="E37" s="5" t="s">
        <v>137</v>
      </c>
      <c r="F37" s="3" t="b">
        <v>1</v>
      </c>
    </row>
    <row r="38" spans="1:6" x14ac:dyDescent="0.3">
      <c r="A38" s="2" t="s">
        <v>169</v>
      </c>
      <c r="B38" s="2" t="s">
        <v>167</v>
      </c>
      <c r="C38" s="2" t="s">
        <v>99</v>
      </c>
      <c r="D38" t="s">
        <v>176</v>
      </c>
      <c r="E38" s="5" t="s">
        <v>168</v>
      </c>
      <c r="F38" s="3" t="b">
        <v>1</v>
      </c>
    </row>
    <row r="39" spans="1:6" x14ac:dyDescent="0.3">
      <c r="A39" s="2" t="s">
        <v>138</v>
      </c>
      <c r="B39" s="2" t="s">
        <v>139</v>
      </c>
      <c r="C39" s="2" t="s">
        <v>99</v>
      </c>
      <c r="D39" t="s">
        <v>177</v>
      </c>
      <c r="E39" s="5" t="s">
        <v>170</v>
      </c>
      <c r="F39" s="3" t="b">
        <v>1</v>
      </c>
    </row>
    <row r="40" spans="1:6" x14ac:dyDescent="0.3">
      <c r="A40" s="2" t="s">
        <v>140</v>
      </c>
      <c r="B40" s="2" t="s">
        <v>141</v>
      </c>
      <c r="C40" s="2" t="s">
        <v>99</v>
      </c>
      <c r="D40" s="7" t="s">
        <v>178</v>
      </c>
      <c r="E40" s="5" t="s">
        <v>171</v>
      </c>
      <c r="F40" s="3" t="b">
        <v>1</v>
      </c>
    </row>
    <row r="41" spans="1:6" x14ac:dyDescent="0.3">
      <c r="A41" t="s">
        <v>142</v>
      </c>
      <c r="B41" t="s">
        <v>143</v>
      </c>
      <c r="C41" t="s">
        <v>85</v>
      </c>
      <c r="D41" t="s">
        <v>179</v>
      </c>
      <c r="E41" t="s">
        <v>172</v>
      </c>
      <c r="F41" s="3" t="b">
        <v>1</v>
      </c>
    </row>
    <row r="42" spans="1:6" x14ac:dyDescent="0.3">
      <c r="A42" s="7" t="s">
        <v>190</v>
      </c>
      <c r="B42" s="7" t="s">
        <v>191</v>
      </c>
      <c r="C42" t="s">
        <v>94</v>
      </c>
      <c r="D42" t="s">
        <v>192</v>
      </c>
      <c r="E42" s="8" t="s">
        <v>181</v>
      </c>
      <c r="F42" s="3" t="b">
        <v>1</v>
      </c>
    </row>
    <row r="43" spans="1:6" x14ac:dyDescent="0.3">
      <c r="A43" s="7" t="s">
        <v>193</v>
      </c>
      <c r="B43" s="7" t="s">
        <v>194</v>
      </c>
      <c r="C43" t="s">
        <v>94</v>
      </c>
      <c r="D43" t="s">
        <v>195</v>
      </c>
      <c r="E43" t="s">
        <v>182</v>
      </c>
      <c r="F43" s="3" t="b">
        <v>1</v>
      </c>
    </row>
    <row r="44" spans="1:6" x14ac:dyDescent="0.3">
      <c r="A44" s="7" t="s">
        <v>196</v>
      </c>
      <c r="B44" s="7" t="s">
        <v>197</v>
      </c>
      <c r="C44" t="s">
        <v>94</v>
      </c>
      <c r="D44" t="s">
        <v>198</v>
      </c>
      <c r="E44" t="s">
        <v>183</v>
      </c>
      <c r="F44" s="3" t="b">
        <v>1</v>
      </c>
    </row>
    <row r="45" spans="1:6" x14ac:dyDescent="0.3">
      <c r="A45" s="7" t="s">
        <v>199</v>
      </c>
      <c r="B45" s="7" t="s">
        <v>200</v>
      </c>
      <c r="C45" s="7" t="s">
        <v>94</v>
      </c>
      <c r="D45" t="s">
        <v>201</v>
      </c>
      <c r="E45" s="5" t="s">
        <v>184</v>
      </c>
      <c r="F45" s="3" t="b">
        <v>1</v>
      </c>
    </row>
    <row r="46" spans="1:6" x14ac:dyDescent="0.3">
      <c r="A46" s="7" t="s">
        <v>202</v>
      </c>
      <c r="B46" s="7" t="s">
        <v>203</v>
      </c>
      <c r="C46" s="7" t="s">
        <v>25</v>
      </c>
      <c r="D46" t="s">
        <v>204</v>
      </c>
      <c r="E46" s="5" t="s">
        <v>185</v>
      </c>
      <c r="F46" s="3" t="b">
        <v>1</v>
      </c>
    </row>
    <row r="47" spans="1:6" x14ac:dyDescent="0.3">
      <c r="A47" s="7" t="s">
        <v>205</v>
      </c>
      <c r="B47" s="7" t="s">
        <v>206</v>
      </c>
      <c r="C47" s="7" t="s">
        <v>25</v>
      </c>
      <c r="D47" t="s">
        <v>207</v>
      </c>
      <c r="E47" t="s">
        <v>186</v>
      </c>
      <c r="F47" s="3" t="b">
        <v>1</v>
      </c>
    </row>
    <row r="48" spans="1:6" x14ac:dyDescent="0.3">
      <c r="A48" s="7" t="s">
        <v>188</v>
      </c>
      <c r="B48" s="7" t="s">
        <v>208</v>
      </c>
      <c r="C48" s="7" t="s">
        <v>129</v>
      </c>
      <c r="D48" t="s">
        <v>209</v>
      </c>
      <c r="E48" t="s">
        <v>187</v>
      </c>
      <c r="F48" s="3" t="b">
        <v>1</v>
      </c>
    </row>
    <row r="49" spans="1:6" x14ac:dyDescent="0.3">
      <c r="A49" t="s">
        <v>127</v>
      </c>
      <c r="B49" t="s">
        <v>128</v>
      </c>
      <c r="C49" t="s">
        <v>129</v>
      </c>
      <c r="D49" t="s">
        <v>210</v>
      </c>
      <c r="E49" t="s">
        <v>189</v>
      </c>
      <c r="F49" s="3" t="b">
        <v>1</v>
      </c>
    </row>
    <row r="50" spans="1:6" x14ac:dyDescent="0.3">
      <c r="A50" t="s">
        <v>211</v>
      </c>
      <c r="B50" t="s">
        <v>212</v>
      </c>
      <c r="C50" t="s">
        <v>151</v>
      </c>
      <c r="D50" t="s">
        <v>213</v>
      </c>
      <c r="E50" t="s">
        <v>214</v>
      </c>
      <c r="F50" s="3" t="b">
        <v>1</v>
      </c>
    </row>
    <row r="51" spans="1:6" x14ac:dyDescent="0.3">
      <c r="A51" t="s">
        <v>215</v>
      </c>
      <c r="B51" t="s">
        <v>216</v>
      </c>
      <c r="C51" t="s">
        <v>151</v>
      </c>
      <c r="D51" t="s">
        <v>217</v>
      </c>
      <c r="E51" t="s">
        <v>218</v>
      </c>
      <c r="F51" s="3" t="b">
        <v>1</v>
      </c>
    </row>
  </sheetData>
  <pageMargins left="0.7" right="0.7" top="0.75" bottom="0.75" header="0.3" footer="0.3"/>
  <pageSetup paperSize="9" orientation="portrait" horizontalDpi="4294967295" verticalDpi="4294967295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3"/>
  <sheetViews>
    <sheetView workbookViewId="0">
      <selection activeCell="B12" sqref="B12"/>
    </sheetView>
  </sheetViews>
  <sheetFormatPr defaultRowHeight="14.4" x14ac:dyDescent="0.3"/>
  <cols>
    <col min="1" max="1" width="22" customWidth="1"/>
    <col min="2" max="2" width="20" customWidth="1"/>
  </cols>
  <sheetData>
    <row r="1" spans="1:2" x14ac:dyDescent="0.3">
      <c r="A1" s="4" t="s">
        <v>2</v>
      </c>
      <c r="B1" s="4" t="s">
        <v>144</v>
      </c>
    </row>
    <row r="2" spans="1:2" x14ac:dyDescent="0.3">
      <c r="A2" t="s">
        <v>34</v>
      </c>
      <c r="B2">
        <f>COUNTIF(SourcesTable[category], CategorySummaryTable[[#This Row],[category]])</f>
        <v>9</v>
      </c>
    </row>
    <row r="3" spans="1:2" x14ac:dyDescent="0.3">
      <c r="A3" t="s">
        <v>104</v>
      </c>
      <c r="B3">
        <f>COUNTIF(SourcesTable[category], CategorySummaryTable[[#This Row],[category]])</f>
        <v>6</v>
      </c>
    </row>
    <row r="4" spans="1:2" x14ac:dyDescent="0.3">
      <c r="A4" t="s">
        <v>85</v>
      </c>
      <c r="B4">
        <f>COUNTIF(SourcesTable[category], CategorySummaryTable[[#This Row],[category]])</f>
        <v>5</v>
      </c>
    </row>
    <row r="5" spans="1:2" x14ac:dyDescent="0.3">
      <c r="A5" t="s">
        <v>8</v>
      </c>
      <c r="B5">
        <f>COUNTIF(SourcesTable[category], CategorySummaryTable[[#This Row],[category]])</f>
        <v>4</v>
      </c>
    </row>
    <row r="6" spans="1:2" x14ac:dyDescent="0.3">
      <c r="A6" t="s">
        <v>99</v>
      </c>
      <c r="B6">
        <f>COUNTIF(SourcesTable[category], CategorySummaryTable[[#This Row],[category]])</f>
        <v>4</v>
      </c>
    </row>
    <row r="7" spans="1:2" x14ac:dyDescent="0.3">
      <c r="A7" t="s">
        <v>61</v>
      </c>
      <c r="B7">
        <f>COUNTIF(SourcesTable[category], CategorySummaryTable[[#This Row],[category]])</f>
        <v>4</v>
      </c>
    </row>
    <row r="8" spans="1:2" x14ac:dyDescent="0.3">
      <c r="A8" t="s">
        <v>72</v>
      </c>
      <c r="B8">
        <f>COUNTIF(SourcesTable[category], CategorySummaryTable[[#This Row],[category]])</f>
        <v>3</v>
      </c>
    </row>
    <row r="9" spans="1:2" x14ac:dyDescent="0.3">
      <c r="A9" t="s">
        <v>94</v>
      </c>
      <c r="B9">
        <f>COUNTIF(SourcesTable[category], CategorySummaryTable[[#This Row],[category]])</f>
        <v>6</v>
      </c>
    </row>
    <row r="10" spans="1:2" x14ac:dyDescent="0.3">
      <c r="A10" t="s">
        <v>25</v>
      </c>
      <c r="B10">
        <f>COUNTIF(SourcesTable[category], CategorySummaryTable[[#This Row],[category]])</f>
        <v>4</v>
      </c>
    </row>
    <row r="11" spans="1:2" x14ac:dyDescent="0.3">
      <c r="A11" t="s">
        <v>129</v>
      </c>
      <c r="B11">
        <f>COUNTIF(SourcesTable[category], CategorySummaryTable[[#This Row],[category]])</f>
        <v>2</v>
      </c>
    </row>
    <row r="12" spans="1:2" x14ac:dyDescent="0.3">
      <c r="A12" s="7" t="s">
        <v>151</v>
      </c>
      <c r="B12">
        <f>COUNTIF(SourcesTable[category], CategorySummaryTable[[#This Row],[category]])</f>
        <v>3</v>
      </c>
    </row>
    <row r="13" spans="1:2" x14ac:dyDescent="0.3">
      <c r="A13" s="7" t="s">
        <v>180</v>
      </c>
      <c r="B13">
        <f>SUBTOTAL(109,CategorySummaryTable[active_sources_count])</f>
        <v>50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Sheet1</vt:lpstr>
      <vt:lpstr>category_summary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Artem Iv</cp:lastModifiedBy>
  <dcterms:modified xsi:type="dcterms:W3CDTF">2026-05-21T17:28:37Z</dcterms:modified>
</cp:coreProperties>
</file>